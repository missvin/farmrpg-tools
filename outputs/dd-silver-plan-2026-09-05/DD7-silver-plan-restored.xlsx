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qui\Documents\farmrpg-tools\outputs\dd-silver-plan-2026-09-05\"/>
    </mc:Choice>
  </mc:AlternateContent>
  <xr:revisionPtr revIDLastSave="0" documentId="13_ncr:1_{F4E5C88D-514A-4599-B716-4F65F1A9A87C}" xr6:coauthVersionLast="47" xr6:coauthVersionMax="47" xr10:uidLastSave="{00000000-0000-0000-0000-000000000000}"/>
  <bookViews>
    <workbookView xWindow="12720" yWindow="0" windowWidth="12960" windowHeight="15360" xr2:uid="{00000000-000D-0000-FFFF-FFFF00000000}"/>
  </bookViews>
  <sheets>
    <sheet name="Silver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1" i="1"/>
  <c r="D10" i="1"/>
  <c r="E28" i="1"/>
  <c r="E27" i="1"/>
  <c r="E26" i="1"/>
  <c r="E25" i="1"/>
  <c r="E24" i="1"/>
  <c r="F19" i="1"/>
  <c r="F20" i="1" s="1"/>
  <c r="F21" i="1" s="1"/>
  <c r="C35" i="1" s="1"/>
  <c r="C19" i="1"/>
  <c r="D19" i="1" s="1"/>
  <c r="C18" i="1"/>
  <c r="D20" i="1" s="1"/>
  <c r="D9" i="1"/>
  <c r="D8" i="1"/>
  <c r="D7" i="1"/>
  <c r="D12" i="1" l="1"/>
  <c r="D13" i="1" s="1"/>
  <c r="E30" i="1" s="1"/>
  <c r="E29" i="1"/>
  <c r="E36" i="1"/>
  <c r="E35" i="1"/>
  <c r="C36" i="1"/>
  <c r="D36" i="1" s="1"/>
  <c r="D35" i="1"/>
  <c r="F35" i="1" l="1"/>
  <c r="G35" i="1" s="1"/>
  <c r="F36" i="1"/>
  <c r="H36" i="1" s="1"/>
  <c r="E31" i="1"/>
  <c r="D14" i="1"/>
  <c r="H35" i="1"/>
  <c r="G36" i="1" l="1"/>
</calcChain>
</file>

<file path=xl/sharedStrings.xml><?xml version="1.0" encoding="utf-8"?>
<sst xmlns="http://schemas.openxmlformats.org/spreadsheetml/2006/main" count="67" uniqueCount="66">
  <si>
    <t>DD7 silver plan</t>
  </si>
  <si>
    <t>Type silver inputs with M, B, or T (for example, 3.042T). Yellow cells are editable.</t>
  </si>
  <si>
    <t>Silver position</t>
  </si>
  <si>
    <t>Source</t>
  </si>
  <si>
    <t>Quantity</t>
  </si>
  <si>
    <t>Enter value / planned sell price</t>
  </si>
  <si>
    <t>Parsed / silver value</t>
  </si>
  <si>
    <t>Target</t>
  </si>
  <si>
    <t>5T</t>
  </si>
  <si>
    <t>Silver on hand</t>
  </si>
  <si>
    <t>Bank</t>
  </si>
  <si>
    <t>600.3B</t>
  </si>
  <si>
    <t>White truffles</t>
  </si>
  <si>
    <t>Black truffles</t>
  </si>
  <si>
    <t>Available before optional sales</t>
  </si>
  <si>
    <t>Gap before optional sales</t>
  </si>
  <si>
    <t>Progress to target</t>
  </si>
  <si>
    <t>Expected daily truffles</t>
  </si>
  <si>
    <t>Type</t>
  </si>
  <si>
    <t>Expected per day</t>
  </si>
  <si>
    <t>Unit price</t>
  </si>
  <si>
    <t>Silver per day</t>
  </si>
  <si>
    <t>White Truffle</t>
  </si>
  <si>
    <t>Black Truffle</t>
  </si>
  <si>
    <t>Expected truffle silver per day</t>
  </si>
  <si>
    <t>Optional sales</t>
  </si>
  <si>
    <t>Item</t>
  </si>
  <si>
    <t>Owned</t>
  </si>
  <si>
    <t>Planned sale</t>
  </si>
  <si>
    <t>Silver value</t>
  </si>
  <si>
    <t>Gainite</t>
  </si>
  <si>
    <t>Lava Sphere</t>
  </si>
  <si>
    <t>Fancy Violin</t>
  </si>
  <si>
    <t>Canoe</t>
  </si>
  <si>
    <t>Linked Lantern</t>
  </si>
  <si>
    <t>Total planned sales</t>
  </si>
  <si>
    <t>Gap after planned sales</t>
  </si>
  <si>
    <t>Progress after planned sales</t>
  </si>
  <si>
    <t>Fishing and truffle scenarios</t>
  </si>
  <si>
    <t>Location</t>
  </si>
  <si>
    <t>Glacier</t>
  </si>
  <si>
    <t>Swamp</t>
  </si>
  <si>
    <t>Notes</t>
  </si>
  <si>
    <t>Set Planned sale to 0 for any item you want to keep. Fishing days include expected daily truffle sales.</t>
  </si>
  <si>
    <t>Truffle estimates use the supplied roster: 173 level-33 pigs, 322 level-32 pigs, and 5 level-25 pigs (161.38 white and 53.79 black per day).</t>
  </si>
  <si>
    <t>Starting silver values transcribed from the supplied DD7 planning sheet on 2026-09-05.</t>
  </si>
  <si>
    <t>Daily net production</t>
  </si>
  <si>
    <t>Metric</t>
  </si>
  <si>
    <t>Value</t>
  </si>
  <si>
    <t>Calculation</t>
  </si>
  <si>
    <t>Inventory size</t>
  </si>
  <si>
    <t>Input</t>
  </si>
  <si>
    <t>Antlers/day</t>
  </si>
  <si>
    <t>Inventory × 2</t>
  </si>
  <si>
    <t>Fishing Nets/day</t>
  </si>
  <si>
    <t>Antlers × 1.45</t>
  </si>
  <si>
    <t>Large Nets/day</t>
  </si>
  <si>
    <t>Fishing Nets ÷ 25 × 1.45</t>
  </si>
  <si>
    <t>Silver per Large Net</t>
  </si>
  <si>
    <t>Large Nets per day</t>
  </si>
  <si>
    <t>Fishing silver/day</t>
  </si>
  <si>
    <t>Truffle silver/day</t>
  </si>
  <si>
    <t>Combined silver/day</t>
  </si>
  <si>
    <t>Days without optional sales</t>
  </si>
  <si>
    <t>Days with optional sales</t>
  </si>
  <si>
    <t>3.173t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</si>
</sst>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&gt;=1000000000000]0.00,,,,&quot;T&quot;;[&gt;=1000000000]0.00,,,&quot;B&quot;;0.00,,&quot;M&quot;"/>
  </numFmts>
  <fonts count="8" x14ac:knownFonts="1">
    <font>
      <sz val="11"/>
      <name val="Carlito"/>
    </font>
    <font>
      <b/>
      <sz val="18"/>
      <color rgb="FF23395D"/>
      <name val="Aptos"/>
    </font>
    <font>
      <i/>
      <sz val="10"/>
      <color rgb="FF667085"/>
      <name val="Aptos"/>
    </font>
    <font>
      <b/>
      <sz val="11"/>
      <color rgb="FFFFFFFF"/>
      <name val="Aptos"/>
    </font>
    <font>
      <b/>
      <sz val="10"/>
      <color rgb="FFFFFFFF"/>
      <name val="Aptos"/>
    </font>
    <font>
      <b/>
      <sz val="11"/>
      <color rgb="FF23395D"/>
      <name val="Aptos"/>
    </font>
    <font>
      <sz val="9"/>
      <color rgb="FF667085"/>
      <name val="Aptos"/>
    </font>
    <font>
      <sz val="11"/>
      <name val="Aptos"/>
    </font>
  </fonts>
  <fills count="13">
    <fill>
      <patternFill patternType="none"/>
    </fill>
    <fill>
      <patternFill patternType="gray125"/>
    </fill>
    <fill>
      <patternFill patternType="solid">
        <fgColor rgb="FF23395D"/>
      </patternFill>
    </fill>
    <fill>
      <patternFill patternType="solid">
        <fgColor rgb="FF536DFE"/>
      </patternFill>
    </fill>
    <fill>
      <patternFill patternType="solid">
        <fgColor rgb="FFFFF4CC"/>
      </patternFill>
    </fill>
    <fill>
      <patternFill patternType="solid">
        <fgColor rgb="FFEEF2FF"/>
      </patternFill>
    </fill>
    <fill>
      <patternFill patternType="solid">
        <fgColor rgb="FFE7F5EC"/>
      </patternFill>
    </fill>
    <fill>
      <patternFill patternType="solid">
        <fgColor rgb="FFFFF4CC"/>
      </patternFill>
    </fill>
    <fill>
      <patternFill patternType="solid">
        <fgColor rgb="FFE7F5EC"/>
      </patternFill>
    </fill>
    <fill>
      <patternFill patternType="solid">
        <fgColor rgb="FF23395D"/>
      </patternFill>
    </fill>
    <fill>
      <patternFill patternType="solid">
        <fgColor rgb="FF536DFE"/>
      </patternFill>
    </fill>
    <fill>
      <patternFill patternType="solid">
        <fgColor rgb="FFFFF4CC"/>
      </patternFill>
    </fill>
    <fill>
      <patternFill patternType="solid">
        <fgColor rgb="FFE7F5EC"/>
      </patternFill>
    </fill>
  </fills>
  <borders count="7">
    <border>
      <left/>
      <right/>
      <top/>
      <bottom/>
      <diagonal/>
    </border>
    <border>
      <left/>
      <right/>
      <top/>
      <bottom style="thin">
        <color rgb="FFD0D5DD"/>
      </bottom>
      <diagonal/>
    </border>
    <border>
      <left style="thin">
        <color rgb="FF23395D"/>
      </left>
      <right/>
      <top style="thin">
        <color rgb="FF23395D"/>
      </top>
      <bottom style="thin">
        <color rgb="FF23395D"/>
      </bottom>
      <diagonal/>
    </border>
    <border>
      <left/>
      <right/>
      <top style="thin">
        <color rgb="FF23395D"/>
      </top>
      <bottom style="thin">
        <color rgb="FF23395D"/>
      </bottom>
      <diagonal/>
    </border>
    <border>
      <left/>
      <right style="thin">
        <color rgb="FF23395D"/>
      </right>
      <top style="thin">
        <color rgb="FF23395D"/>
      </top>
      <bottom style="thin">
        <color rgb="FF23395D"/>
      </bottom>
      <diagonal/>
    </border>
    <border>
      <left/>
      <right/>
      <top style="thin">
        <color rgb="FFD0D5DD"/>
      </top>
      <bottom/>
      <diagonal/>
    </border>
    <border>
      <left/>
      <right/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5" fillId="0" borderId="0" xfId="0" applyFont="1"/>
    <xf numFmtId="0" fontId="7" fillId="0" borderId="0" xfId="0" applyFont="1"/>
    <xf numFmtId="0" fontId="7" fillId="0" borderId="1" xfId="0" applyFont="1" applyBorder="1"/>
    <xf numFmtId="0" fontId="4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3" fontId="7" fillId="0" borderId="0" xfId="0" applyNumberFormat="1" applyFont="1" applyAlignment="1">
      <alignment horizontal="right" vertical="center"/>
    </xf>
    <xf numFmtId="3" fontId="7" fillId="4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3" fontId="5" fillId="5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3" fontId="4" fillId="3" borderId="0" xfId="0" applyNumberFormat="1" applyFont="1" applyFill="1" applyAlignment="1">
      <alignment horizontal="right" vertical="center"/>
    </xf>
    <xf numFmtId="2" fontId="7" fillId="4" borderId="0" xfId="0" applyNumberFormat="1" applyFont="1" applyFill="1" applyAlignment="1">
      <alignment horizontal="right" vertical="center"/>
    </xf>
    <xf numFmtId="3" fontId="5" fillId="6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right" vertical="center" wrapText="1"/>
    </xf>
    <xf numFmtId="0" fontId="5" fillId="5" borderId="5" xfId="0" applyFont="1" applyFill="1" applyBorder="1" applyAlignment="1">
      <alignment horizontal="left" vertical="center"/>
    </xf>
    <xf numFmtId="3" fontId="5" fillId="5" borderId="5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2" fontId="7" fillId="6" borderId="1" xfId="0" applyNumberFormat="1" applyFont="1" applyFill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2" fontId="7" fillId="6" borderId="5" xfId="0" applyNumberFormat="1" applyFont="1" applyFill="1" applyBorder="1" applyAlignment="1">
      <alignment horizontal="right" vertical="center"/>
    </xf>
    <xf numFmtId="165" fontId="7" fillId="4" borderId="0" xfId="0" applyNumberFormat="1" applyFont="1" applyFill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5" fontId="5" fillId="5" borderId="5" xfId="0" applyNumberFormat="1" applyFont="1" applyFill="1" applyBorder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165" fontId="7" fillId="4" borderId="5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165" fontId="7" fillId="6" borderId="5" xfId="0" applyNumberFormat="1" applyFont="1" applyFill="1" applyBorder="1" applyAlignment="1">
      <alignment horizontal="right" vertical="center"/>
    </xf>
    <xf numFmtId="49" fontId="7" fillId="7" borderId="0" xfId="0" applyNumberFormat="1" applyFont="1" applyFill="1" applyAlignment="1">
      <alignment horizontal="right" vertical="center"/>
    </xf>
    <xf numFmtId="165" fontId="7" fillId="8" borderId="0" xfId="0" applyNumberFormat="1" applyFont="1" applyFill="1" applyAlignment="1">
      <alignment horizontal="right" vertical="center"/>
    </xf>
    <xf numFmtId="0" fontId="3" fillId="9" borderId="2" xfId="0" applyFont="1" applyFill="1" applyBorder="1" applyAlignment="1">
      <alignment horizontal="left" vertical="center"/>
    </xf>
    <xf numFmtId="3" fontId="3" fillId="9" borderId="3" xfId="0" applyNumberFormat="1" applyFont="1" applyFill="1" applyBorder="1" applyAlignment="1">
      <alignment horizontal="right" vertical="center"/>
    </xf>
    <xf numFmtId="3" fontId="3" fillId="9" borderId="4" xfId="0" applyNumberFormat="1" applyFont="1" applyFill="1" applyBorder="1" applyAlignment="1">
      <alignment horizontal="right" vertical="center"/>
    </xf>
    <xf numFmtId="0" fontId="3" fillId="9" borderId="4" xfId="0" applyFont="1" applyFill="1" applyBorder="1" applyAlignment="1">
      <alignment horizontal="right" vertical="center"/>
    </xf>
    <xf numFmtId="3" fontId="3" fillId="9" borderId="2" xfId="0" applyNumberFormat="1" applyFont="1" applyFill="1" applyBorder="1" applyAlignment="1">
      <alignment horizontal="right" vertical="center"/>
    </xf>
    <xf numFmtId="0" fontId="3" fillId="9" borderId="3" xfId="0" applyFont="1" applyFill="1" applyBorder="1" applyAlignment="1">
      <alignment horizontal="right" vertical="center"/>
    </xf>
    <xf numFmtId="3" fontId="4" fillId="10" borderId="0" xfId="0" applyNumberFormat="1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3" fontId="7" fillId="11" borderId="1" xfId="0" applyNumberFormat="1" applyFont="1" applyFill="1" applyBorder="1" applyAlignment="1">
      <alignment horizontal="right" vertical="center"/>
    </xf>
    <xf numFmtId="3" fontId="7" fillId="0" borderId="6" xfId="0" applyNumberFormat="1" applyFont="1" applyBorder="1" applyAlignment="1">
      <alignment horizontal="right" vertical="center"/>
    </xf>
    <xf numFmtId="3" fontId="7" fillId="12" borderId="6" xfId="0" applyNumberFormat="1" applyFont="1" applyFill="1" applyBorder="1" applyAlignment="1">
      <alignment horizontal="right" vertical="center"/>
    </xf>
    <xf numFmtId="3" fontId="7" fillId="0" borderId="5" xfId="0" applyNumberFormat="1" applyFont="1" applyBorder="1" applyAlignment="1">
      <alignment horizontal="right" vertical="center"/>
    </xf>
    <xf numFmtId="4" fontId="7" fillId="12" borderId="5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4" fontId="7" fillId="1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6DFE"/>
  </sheetPr>
  <dimension ref="A1:H41"/>
  <sheetViews>
    <sheetView showGridLines="0" tabSelected="1" topLeftCell="E1" workbookViewId="0">
      <selection activeCell="F18" sqref="F18"/>
    </sheetView>
  </sheetViews>
  <sheetFormatPr defaultRowHeight="14.35" x14ac:dyDescent="0.5"/>
  <cols>
    <col min="1" max="1" width="31" customWidth="1"/>
    <col min="2" max="2" width="16" customWidth="1"/>
    <col min="3" max="3" width="22" customWidth="1"/>
    <col min="4" max="5" width="21" customWidth="1"/>
    <col min="6" max="6" width="20" customWidth="1"/>
    <col min="7" max="7" width="25" customWidth="1"/>
    <col min="8" max="8" width="22" customWidth="1"/>
  </cols>
  <sheetData>
    <row r="1" spans="1:8" ht="26" customHeight="1" x14ac:dyDescent="0.85">
      <c r="A1" s="1" t="s">
        <v>0</v>
      </c>
      <c r="B1" s="1"/>
      <c r="C1" s="1"/>
      <c r="D1" s="1"/>
      <c r="E1" s="1"/>
      <c r="F1" s="1"/>
      <c r="G1" s="7"/>
      <c r="H1" s="7"/>
    </row>
    <row r="2" spans="1:8" ht="20" customHeight="1" x14ac:dyDescent="0.5">
      <c r="A2" s="2" t="s">
        <v>1</v>
      </c>
      <c r="B2" s="2"/>
      <c r="C2" s="2"/>
      <c r="D2" s="2"/>
      <c r="E2" s="2"/>
      <c r="F2" s="2"/>
      <c r="G2" s="7"/>
      <c r="H2" s="7"/>
    </row>
    <row r="3" spans="1:8" x14ac:dyDescent="0.5">
      <c r="A3" s="8"/>
      <c r="B3" s="8"/>
      <c r="C3" s="8"/>
      <c r="D3" s="8"/>
      <c r="E3" s="8"/>
      <c r="F3" s="8"/>
      <c r="G3" s="7"/>
      <c r="H3" s="7"/>
    </row>
    <row r="4" spans="1:8" x14ac:dyDescent="0.5">
      <c r="A4" s="7"/>
      <c r="B4" s="7"/>
      <c r="C4" s="7"/>
      <c r="D4" s="7"/>
      <c r="E4" s="7"/>
      <c r="F4" s="7"/>
      <c r="G4" s="7"/>
      <c r="H4" s="7"/>
    </row>
    <row r="5" spans="1:8" ht="22" customHeight="1" x14ac:dyDescent="0.5">
      <c r="A5" s="3" t="s">
        <v>2</v>
      </c>
      <c r="B5" s="4"/>
      <c r="C5" s="4"/>
      <c r="D5" s="4"/>
      <c r="E5" s="4"/>
      <c r="F5" s="5"/>
      <c r="G5" s="7"/>
      <c r="H5" s="7"/>
    </row>
    <row r="6" spans="1:8" ht="34" customHeight="1" x14ac:dyDescent="0.5">
      <c r="A6" s="12" t="s">
        <v>3</v>
      </c>
      <c r="B6" s="9" t="s">
        <v>4</v>
      </c>
      <c r="C6" s="11" t="s">
        <v>5</v>
      </c>
      <c r="D6" s="11" t="s">
        <v>6</v>
      </c>
      <c r="E6" s="10"/>
      <c r="F6" s="10"/>
      <c r="G6" s="10"/>
      <c r="H6" s="10"/>
    </row>
    <row r="7" spans="1:8" x14ac:dyDescent="0.5">
      <c r="A7" s="13" t="s">
        <v>7</v>
      </c>
      <c r="B7" s="20"/>
      <c r="C7" s="48" t="s">
        <v>8</v>
      </c>
      <c r="D7" s="49">
        <f>IF(C7="","",LEFT(TRIM(C7),LEN(TRIM(C7))-1)*IF(RIGHT(UPPER(TRIM(C7)),1)="T",1000000000000,IF(RIGHT(UPPER(TRIM(C7)),1)="B",1000000000,IF(RIGHT(UPPER(TRIM(C7)),1)="M",1000000,1))))</f>
        <v>5000000000000</v>
      </c>
      <c r="E7" s="20"/>
      <c r="F7" s="22"/>
      <c r="G7" s="22"/>
      <c r="H7" s="22"/>
    </row>
    <row r="8" spans="1:8" x14ac:dyDescent="0.5">
      <c r="A8" s="13" t="s">
        <v>9</v>
      </c>
      <c r="B8" s="20"/>
      <c r="C8" s="48" t="s">
        <v>65</v>
      </c>
      <c r="D8" s="49">
        <f>IF(C8="","",LEFT(TRIM(C8),LEN(TRIM(C8))-1)*IF(RIGHT(UPPER(TRIM(C8)),1)="T",1000000000000,IF(RIGHT(UPPER(TRIM(C8)),1)="B",1000000000,IF(RIGHT(UPPER(TRIM(C8)),1)="M",1000000,1))))</f>
        <v>3173000000000</v>
      </c>
      <c r="E8" s="20"/>
      <c r="F8" s="22"/>
      <c r="G8" s="22"/>
      <c r="H8" s="22"/>
    </row>
    <row r="9" spans="1:8" x14ac:dyDescent="0.5">
      <c r="A9" s="13" t="s">
        <v>10</v>
      </c>
      <c r="B9" s="20"/>
      <c r="C9" s="48" t="s">
        <v>11</v>
      </c>
      <c r="D9" s="49">
        <f>IF(C9="","",LEFT(TRIM(C9),LEN(TRIM(C9))-1)*IF(RIGHT(UPPER(TRIM(C9)),1)="T",1000000000000,IF(RIGHT(UPPER(TRIM(C9)),1)="B",1000000000,IF(RIGHT(UPPER(TRIM(C9)),1)="M",1000000,1))))</f>
        <v>600300000000</v>
      </c>
      <c r="E9" s="20"/>
      <c r="F9" s="22"/>
      <c r="G9" s="22"/>
      <c r="H9" s="22"/>
    </row>
    <row r="10" spans="1:8" x14ac:dyDescent="0.5">
      <c r="A10" s="13" t="s">
        <v>12</v>
      </c>
      <c r="B10" s="21">
        <v>3946</v>
      </c>
      <c r="C10" s="39">
        <v>170000000</v>
      </c>
      <c r="D10" s="49">
        <f>IF(C10="","",LEFT(TRIM(C10),LEN(TRIM(C10))-1)*IF(RIGHT(UPPER(TRIM(C10)),1)="T",1000000000000,IF(RIGHT(UPPER(TRIM(C10)),1)="B",1000000000,IF(RIGHT(UPPER(TRIM(C10)),1)="M",1000000,1))))*B10</f>
        <v>67082000000</v>
      </c>
      <c r="E10" s="20"/>
      <c r="F10" s="22"/>
      <c r="G10" s="22"/>
      <c r="H10" s="22"/>
    </row>
    <row r="11" spans="1:8" x14ac:dyDescent="0.5">
      <c r="A11" s="13" t="s">
        <v>13</v>
      </c>
      <c r="B11" s="21">
        <v>225</v>
      </c>
      <c r="C11" s="39">
        <v>600000000</v>
      </c>
      <c r="D11" s="49">
        <f>IF(C11="","",LEFT(TRIM(C11),LEN(TRIM(C11))-1)*IF(RIGHT(UPPER(TRIM(C11)),1)="T",1000000000000,IF(RIGHT(UPPER(TRIM(C11)),1)="B",1000000000,IF(RIGHT(UPPER(TRIM(C11)),1)="M",1000000,1))))*B11</f>
        <v>13500000000</v>
      </c>
      <c r="E11" s="20"/>
      <c r="F11" s="22"/>
      <c r="G11" s="22"/>
      <c r="H11" s="22"/>
    </row>
    <row r="12" spans="1:8" x14ac:dyDescent="0.5">
      <c r="A12" s="33" t="s">
        <v>14</v>
      </c>
      <c r="B12" s="34"/>
      <c r="C12" s="34"/>
      <c r="D12" s="41">
        <f>SUM(D8:D11)</f>
        <v>3853882000000</v>
      </c>
      <c r="E12" s="20"/>
      <c r="F12" s="22"/>
      <c r="G12" s="22"/>
      <c r="H12" s="22"/>
    </row>
    <row r="13" spans="1:8" x14ac:dyDescent="0.5">
      <c r="A13" s="14" t="s">
        <v>15</v>
      </c>
      <c r="B13" s="23"/>
      <c r="C13" s="23"/>
      <c r="D13" s="42">
        <f>MAX(0,D7-D12)</f>
        <v>1146118000000</v>
      </c>
      <c r="E13" s="20"/>
      <c r="F13" s="22"/>
      <c r="G13" s="22"/>
      <c r="H13" s="22"/>
    </row>
    <row r="14" spans="1:8" x14ac:dyDescent="0.5">
      <c r="A14" s="14" t="s">
        <v>16</v>
      </c>
      <c r="B14" s="23"/>
      <c r="C14" s="23"/>
      <c r="D14" s="24">
        <f>MIN(1,D12/D7)</f>
        <v>0.77077640000000003</v>
      </c>
      <c r="E14" s="20"/>
      <c r="F14" s="22"/>
      <c r="G14" s="22"/>
      <c r="H14" s="22"/>
    </row>
    <row r="15" spans="1:8" x14ac:dyDescent="0.5">
      <c r="A15" s="13"/>
      <c r="B15" s="20"/>
      <c r="C15" s="20"/>
      <c r="D15" s="20"/>
      <c r="E15" s="20"/>
      <c r="F15" s="22"/>
      <c r="G15" s="22"/>
      <c r="H15" s="22"/>
    </row>
    <row r="16" spans="1:8" ht="22" customHeight="1" x14ac:dyDescent="0.5">
      <c r="A16" s="50" t="s">
        <v>17</v>
      </c>
      <c r="B16" s="51"/>
      <c r="C16" s="51"/>
      <c r="D16" s="52"/>
      <c r="E16" s="54" t="s">
        <v>46</v>
      </c>
      <c r="F16" s="53"/>
      <c r="G16" s="55"/>
      <c r="H16" s="53"/>
    </row>
    <row r="17" spans="1:8" x14ac:dyDescent="0.5">
      <c r="A17" s="12" t="s">
        <v>18</v>
      </c>
      <c r="B17" s="27" t="s">
        <v>19</v>
      </c>
      <c r="C17" s="27" t="s">
        <v>20</v>
      </c>
      <c r="D17" s="27" t="s">
        <v>21</v>
      </c>
      <c r="E17" s="56" t="s">
        <v>47</v>
      </c>
      <c r="F17" s="57" t="s">
        <v>48</v>
      </c>
      <c r="G17" s="57" t="s">
        <v>49</v>
      </c>
      <c r="H17" s="22"/>
    </row>
    <row r="18" spans="1:8" x14ac:dyDescent="0.5">
      <c r="A18" s="13" t="s">
        <v>22</v>
      </c>
      <c r="B18" s="28">
        <v>161.38</v>
      </c>
      <c r="C18" s="40">
        <f>$C$10</f>
        <v>170000000</v>
      </c>
      <c r="D18" s="40">
        <f>B18*C18</f>
        <v>27434600000</v>
      </c>
      <c r="E18" s="58" t="s">
        <v>50</v>
      </c>
      <c r="F18" s="59">
        <v>32620</v>
      </c>
      <c r="G18" s="64" t="s">
        <v>51</v>
      </c>
      <c r="H18" s="22"/>
    </row>
    <row r="19" spans="1:8" x14ac:dyDescent="0.5">
      <c r="A19" s="13" t="s">
        <v>23</v>
      </c>
      <c r="B19" s="28">
        <v>53.79</v>
      </c>
      <c r="C19" s="40">
        <f>$C$11</f>
        <v>600000000</v>
      </c>
      <c r="D19" s="40">
        <f>B19*C19</f>
        <v>32274000000</v>
      </c>
      <c r="E19" s="60" t="s">
        <v>52</v>
      </c>
      <c r="F19" s="61">
        <f>F18*2</f>
        <v>65240</v>
      </c>
      <c r="G19" s="65" t="s">
        <v>53</v>
      </c>
      <c r="H19" s="22"/>
    </row>
    <row r="20" spans="1:8" x14ac:dyDescent="0.5">
      <c r="A20" s="16" t="s">
        <v>24</v>
      </c>
      <c r="B20" s="29"/>
      <c r="C20" s="43"/>
      <c r="D20" s="43">
        <f>SUM(D18:D19)</f>
        <v>59708600000</v>
      </c>
      <c r="E20" s="60" t="s">
        <v>54</v>
      </c>
      <c r="F20" s="61">
        <f>F19*1.45</f>
        <v>94598</v>
      </c>
      <c r="G20" s="65" t="s">
        <v>55</v>
      </c>
      <c r="H20" s="22"/>
    </row>
    <row r="21" spans="1:8" x14ac:dyDescent="0.5">
      <c r="A21" s="13"/>
      <c r="B21" s="20"/>
      <c r="C21" s="20"/>
      <c r="D21" s="20"/>
      <c r="E21" s="62" t="s">
        <v>56</v>
      </c>
      <c r="F21" s="63">
        <f>F20/25*1.45</f>
        <v>5486.6840000000002</v>
      </c>
      <c r="G21" s="66" t="s">
        <v>57</v>
      </c>
      <c r="H21" s="22"/>
    </row>
    <row r="22" spans="1:8" ht="22" customHeight="1" x14ac:dyDescent="0.5">
      <c r="A22" s="15" t="s">
        <v>25</v>
      </c>
      <c r="B22" s="25"/>
      <c r="C22" s="25"/>
      <c r="D22" s="25"/>
      <c r="E22" s="25"/>
      <c r="F22" s="26"/>
      <c r="G22" s="22"/>
      <c r="H22" s="22"/>
    </row>
    <row r="23" spans="1:8" x14ac:dyDescent="0.5">
      <c r="A23" s="12" t="s">
        <v>26</v>
      </c>
      <c r="B23" s="27" t="s">
        <v>27</v>
      </c>
      <c r="C23" s="27" t="s">
        <v>28</v>
      </c>
      <c r="D23" s="27" t="s">
        <v>20</v>
      </c>
      <c r="E23" s="27" t="s">
        <v>29</v>
      </c>
      <c r="F23" s="22"/>
      <c r="G23" s="22"/>
      <c r="H23" s="22"/>
    </row>
    <row r="24" spans="1:8" x14ac:dyDescent="0.5">
      <c r="A24" s="13" t="s">
        <v>30</v>
      </c>
      <c r="B24" s="21">
        <v>182</v>
      </c>
      <c r="C24" s="21">
        <v>182</v>
      </c>
      <c r="D24" s="39">
        <v>2147483647</v>
      </c>
      <c r="E24" s="40">
        <f>C24*D24</f>
        <v>390842023754</v>
      </c>
      <c r="F24" s="22"/>
      <c r="G24" s="22"/>
      <c r="H24" s="22"/>
    </row>
    <row r="25" spans="1:8" x14ac:dyDescent="0.5">
      <c r="A25" s="13" t="s">
        <v>31</v>
      </c>
      <c r="B25" s="21">
        <v>17164</v>
      </c>
      <c r="C25" s="21">
        <v>0</v>
      </c>
      <c r="D25" s="39">
        <v>4000000</v>
      </c>
      <c r="E25" s="40">
        <f>C25*D25</f>
        <v>0</v>
      </c>
      <c r="F25" s="22"/>
      <c r="G25" s="22"/>
      <c r="H25" s="22"/>
    </row>
    <row r="26" spans="1:8" x14ac:dyDescent="0.5">
      <c r="A26" s="13" t="s">
        <v>32</v>
      </c>
      <c r="B26" s="21">
        <v>10000</v>
      </c>
      <c r="C26" s="21">
        <v>10000</v>
      </c>
      <c r="D26" s="39">
        <v>1500000</v>
      </c>
      <c r="E26" s="40">
        <f>C26*D26</f>
        <v>15000000000</v>
      </c>
      <c r="F26" s="22"/>
      <c r="G26" s="22"/>
      <c r="H26" s="22"/>
    </row>
    <row r="27" spans="1:8" x14ac:dyDescent="0.5">
      <c r="A27" s="13" t="s">
        <v>33</v>
      </c>
      <c r="B27" s="21">
        <v>15000</v>
      </c>
      <c r="C27" s="21">
        <v>15000</v>
      </c>
      <c r="D27" s="39">
        <v>200000</v>
      </c>
      <c r="E27" s="40">
        <f>C27*D27</f>
        <v>3000000000</v>
      </c>
      <c r="F27" s="22"/>
      <c r="G27" s="22"/>
      <c r="H27" s="22"/>
    </row>
    <row r="28" spans="1:8" x14ac:dyDescent="0.5">
      <c r="A28" s="13" t="s">
        <v>34</v>
      </c>
      <c r="B28" s="21">
        <v>30000</v>
      </c>
      <c r="C28" s="21">
        <v>0</v>
      </c>
      <c r="D28" s="39">
        <v>100000</v>
      </c>
      <c r="E28" s="40">
        <f>C28*D28</f>
        <v>0</v>
      </c>
      <c r="F28" s="22"/>
      <c r="G28" s="22"/>
      <c r="H28" s="22"/>
    </row>
    <row r="29" spans="1:8" x14ac:dyDescent="0.5">
      <c r="A29" s="33" t="s">
        <v>35</v>
      </c>
      <c r="B29" s="34"/>
      <c r="C29" s="34"/>
      <c r="D29" s="41"/>
      <c r="E29" s="41">
        <f>SUM(E24:E28)</f>
        <v>408842023754</v>
      </c>
      <c r="F29" s="22"/>
      <c r="G29" s="22"/>
      <c r="H29" s="22"/>
    </row>
    <row r="30" spans="1:8" x14ac:dyDescent="0.5">
      <c r="A30" s="14" t="s">
        <v>36</v>
      </c>
      <c r="B30" s="23"/>
      <c r="C30" s="23"/>
      <c r="D30" s="42"/>
      <c r="E30" s="42">
        <f>MAX(0,$D$13-E29)</f>
        <v>737275976246</v>
      </c>
      <c r="F30" s="22"/>
      <c r="G30" s="22"/>
      <c r="H30" s="22"/>
    </row>
    <row r="31" spans="1:8" x14ac:dyDescent="0.5">
      <c r="A31" s="14" t="s">
        <v>37</v>
      </c>
      <c r="B31" s="30"/>
      <c r="C31" s="30"/>
      <c r="D31" s="30"/>
      <c r="E31" s="24">
        <f>MIN(1,($D$12+E29)/$D$7)</f>
        <v>0.85254480475079997</v>
      </c>
      <c r="F31" s="22"/>
      <c r="G31" s="22"/>
      <c r="H31" s="22"/>
    </row>
    <row r="32" spans="1:8" x14ac:dyDescent="0.5">
      <c r="A32" s="13"/>
      <c r="B32" s="22"/>
      <c r="C32" s="22"/>
      <c r="D32" s="22"/>
      <c r="E32" s="22"/>
      <c r="F32" s="22"/>
      <c r="G32" s="22"/>
      <c r="H32" s="22"/>
    </row>
    <row r="33" spans="1:8" ht="22" customHeight="1" x14ac:dyDescent="0.5">
      <c r="A33" s="15" t="s">
        <v>38</v>
      </c>
      <c r="B33" s="31"/>
      <c r="C33" s="31"/>
      <c r="D33" s="31"/>
      <c r="E33" s="31"/>
      <c r="F33" s="31"/>
      <c r="G33" s="31"/>
      <c r="H33" s="26"/>
    </row>
    <row r="34" spans="1:8" ht="48" customHeight="1" x14ac:dyDescent="0.5">
      <c r="A34" s="17" t="s">
        <v>39</v>
      </c>
      <c r="B34" s="32" t="s">
        <v>58</v>
      </c>
      <c r="C34" s="32" t="s">
        <v>59</v>
      </c>
      <c r="D34" s="32" t="s">
        <v>60</v>
      </c>
      <c r="E34" s="32" t="s">
        <v>61</v>
      </c>
      <c r="F34" s="32" t="s">
        <v>62</v>
      </c>
      <c r="G34" s="32" t="s">
        <v>63</v>
      </c>
      <c r="H34" s="32" t="s">
        <v>64</v>
      </c>
    </row>
    <row r="35" spans="1:8" x14ac:dyDescent="0.5">
      <c r="A35" s="35" t="s">
        <v>40</v>
      </c>
      <c r="B35" s="44">
        <v>13784000</v>
      </c>
      <c r="C35" s="67">
        <f>$F$21</f>
        <v>5486.6840000000002</v>
      </c>
      <c r="D35" s="46">
        <f>B35*C35</f>
        <v>75628452256</v>
      </c>
      <c r="E35" s="46">
        <f>$D$20</f>
        <v>59708600000</v>
      </c>
      <c r="F35" s="46">
        <f>D35+E35</f>
        <v>135337052256</v>
      </c>
      <c r="G35" s="36">
        <f>$D$13/F35</f>
        <v>8.4686195014210401</v>
      </c>
      <c r="H35" s="36">
        <f>$E$30/F35</f>
        <v>5.4477023398691156</v>
      </c>
    </row>
    <row r="36" spans="1:8" x14ac:dyDescent="0.5">
      <c r="A36" s="37" t="s">
        <v>41</v>
      </c>
      <c r="B36" s="45">
        <v>17409000</v>
      </c>
      <c r="C36" s="63">
        <f>$F$21</f>
        <v>5486.6840000000002</v>
      </c>
      <c r="D36" s="47">
        <f>B36*C36</f>
        <v>95517681756</v>
      </c>
      <c r="E36" s="47">
        <f>$D$20</f>
        <v>59708600000</v>
      </c>
      <c r="F36" s="47">
        <f>D36+E36</f>
        <v>155226281756</v>
      </c>
      <c r="G36" s="38">
        <f>$D$13/F36</f>
        <v>7.3835305918206648</v>
      </c>
      <c r="H36" s="38">
        <f>$E$30/F36</f>
        <v>4.7496852202188489</v>
      </c>
    </row>
    <row r="37" spans="1:8" x14ac:dyDescent="0.5">
      <c r="A37" s="18"/>
      <c r="B37" s="7"/>
      <c r="C37" s="7"/>
      <c r="D37" s="7"/>
      <c r="E37" s="7"/>
      <c r="F37" s="7"/>
      <c r="G37" s="7"/>
      <c r="H37" s="7"/>
    </row>
    <row r="38" spans="1:8" x14ac:dyDescent="0.5">
      <c r="A38" s="19" t="s">
        <v>42</v>
      </c>
      <c r="B38" s="6"/>
      <c r="C38" s="6"/>
      <c r="D38" s="6"/>
      <c r="E38" s="6"/>
      <c r="F38" s="6"/>
      <c r="G38" s="6"/>
      <c r="H38" s="6"/>
    </row>
    <row r="39" spans="1:8" ht="22" customHeight="1" x14ac:dyDescent="0.5">
      <c r="A39" s="68" t="s">
        <v>43</v>
      </c>
      <c r="B39" s="69"/>
      <c r="C39" s="69"/>
      <c r="D39" s="69"/>
      <c r="E39" s="69"/>
      <c r="F39" s="69"/>
      <c r="G39" s="69"/>
      <c r="H39" s="69"/>
    </row>
    <row r="40" spans="1:8" ht="32" customHeight="1" x14ac:dyDescent="0.5">
      <c r="A40" s="68" t="s">
        <v>44</v>
      </c>
      <c r="B40" s="69"/>
      <c r="C40" s="69"/>
      <c r="D40" s="69"/>
      <c r="E40" s="69"/>
      <c r="F40" s="69"/>
      <c r="G40" s="69"/>
      <c r="H40" s="69"/>
    </row>
    <row r="41" spans="1:8" ht="22" customHeight="1" x14ac:dyDescent="0.5">
      <c r="A41" s="68" t="s">
        <v>45</v>
      </c>
      <c r="B41" s="69"/>
      <c r="C41" s="69"/>
      <c r="D41" s="69"/>
      <c r="E41" s="69"/>
      <c r="F41" s="69"/>
      <c r="G41" s="69"/>
      <c r="H41" s="69"/>
    </row>
  </sheetData>
  <mergeCells count="3">
    <mergeCell ref="A39:H39"/>
    <mergeCell ref="A40:H40"/>
    <mergeCell ref="A41:H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Young</cp:lastModifiedBy>
  <dcterms:modified xsi:type="dcterms:W3CDTF">2026-09-09T05:32:51Z</dcterms:modified>
</cp:coreProperties>
</file>