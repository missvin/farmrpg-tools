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d4d27a77a0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lver Plan" sheetId="1" r:id="Rf48c98640b2144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0"/>
  </x:numFmts>
  <x:fonts count="8">
    <x:font>
      <x:sz val="11"/>
      <x:name val="Carlito"/>
    </x:font>
    <x:font>
      <x:b/>
      <x:sz val="18"/>
      <x:color rgb="FF23395D"/>
      <x:name val="Aptos"/>
    </x:font>
    <x:font>
      <x:i/>
      <x:sz val="10"/>
      <x:color rgb="FF6670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1"/>
      <x:color rgb="FF23395D"/>
      <x:name val="Aptos"/>
    </x:font>
    <x:font>
      <x:sz val="9"/>
      <x:color rgb="FF667085"/>
      <x:name val="Aptos"/>
    </x:font>
    <x:font>
      <x:sz val="11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536DFE"/>
      </x:patternFill>
    </x:fill>
    <x:fill>
      <x:patternFill patternType="solid">
        <x:fgColor rgb="FFFFF4CC"/>
      </x:patternFill>
    </x:fill>
    <x:fill>
      <x:patternFill patternType="solid">
        <x:fgColor rgb="FFEEF2FF"/>
      </x:patternFill>
    </x:fill>
    <x:fill>
      <x:patternFill patternType="solid">
        <x:fgColor rgb="FFE7F5EC"/>
      </x:patternFill>
    </x:fill>
  </x:fills>
  <x:borders count="6">
    <x:border/>
    <x:border>
      <x:bottom style="thin">
        <x:color rgb="FFD0D5DD"/>
      </x:bottom>
    </x:border>
    <x:border>
      <x:left style="thin">
        <x:color rgb="FF23395D"/>
      </x:left>
      <x:top style="thin">
        <x:color rgb="FF23395D"/>
      </x:top>
      <x:bottom style="thin">
        <x:color rgb="FF23395D"/>
      </x:bottom>
    </x:border>
    <x:border>
      <x:top style="thin">
        <x:color rgb="FF23395D"/>
      </x:top>
      <x:bottom style="thin">
        <x:color rgb="FF23395D"/>
      </x:bottom>
    </x:border>
    <x:border>
      <x:right style="thin">
        <x:color rgb="FF23395D"/>
      </x:right>
      <x:top style="thin">
        <x:color rgb="FF23395D"/>
      </x:top>
      <x:bottom style="thin">
        <x:color rgb="FF23395D"/>
      </x:bottom>
    </x:border>
    <x:border>
      <x:top style="thin">
        <x:color rgb="FFD0D5DD"/>
      </x:top>
    </x:border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6" borderId="0" xfId="0" applyNumberFormat="1" applyFont="1" applyFill="1" applyBorder="1"/>
    <x:xf numFmtId="201" fontId="7" fillId="0" borderId="0" xfId="0" applyNumberFormat="1" applyFont="1" applyFill="1" applyBorder="1"/>
    <x:xf numFmtId="201" fontId="7" fillId="4" borderId="0" xfId="0" applyNumberFormat="1" applyFont="1" applyFill="1" applyBorder="1"/>
    <x:xf numFmtId="201" fontId="5" fillId="5" borderId="0" xfId="0" applyNumberFormat="1" applyFont="1" applyFill="1" applyBorder="1"/>
    <x:xf numFmtId="201" fontId="3" fillId="2" borderId="3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/>
    <x:xf numFmtId="202" fontId="7" fillId="4" borderId="0" xfId="0" applyNumberFormat="1" applyFont="1" applyFill="1" applyBorder="1"/>
    <x:xf numFmtId="201" fontId="7" fillId="6" borderId="0" xfId="0" applyNumberFormat="1" applyFont="1" applyFill="1" applyBorder="1"/>
    <x:xf numFmtId="202" fontId="7" fillId="6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1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201" fontId="5" fillId="6" borderId="0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201" fontId="7" fillId="6" borderId="0" xfId="0" applyNumberFormat="1" applyFont="1" applyFill="1" applyBorder="1" applyAlignment="1">
      <x:alignment vertical="center"/>
    </x:xf>
    <x:xf numFmtId="202" fontId="7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3" fillId="2" borderId="2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wrapText="1"/>
    </x:xf>
    <x:xf numFmtId="201" fontId="7" fillId="0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horizontal="right" vertical="center"/>
    </x:xf>
    <x:xf numFmtId="201" fontId="5" fillId="5" borderId="0" xfId="0" applyNumberFormat="1" applyFont="1" applyFill="1" applyBorder="1" applyAlignment="1">
      <x:alignment horizontal="right" vertical="center"/>
    </x:xf>
    <x:xf numFmtId="200" fontId="5" fillId="5" borderId="0" xfId="0" applyNumberFormat="1" applyFont="1" applyFill="1" applyBorder="1" applyAlignment="1">
      <x:alignment horizontal="right" vertical="center"/>
    </x:xf>
    <x:xf numFmtId="201" fontId="3" fillId="2" borderId="3" xfId="0" applyNumberFormat="1" applyFont="1" applyFill="1" applyBorder="1" applyAlignment="1">
      <x:alignment horizontal="right" vertical="center"/>
    </x:xf>
    <x:xf numFmtId="0" fontId="3" fillId="2" borderId="4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7" fillId="4" borderId="0" xfId="0" applyNumberFormat="1" applyFont="1" applyFill="1" applyBorder="1" applyAlignment="1">
      <x:alignment horizontal="right" vertical="center"/>
    </x:xf>
    <x:xf numFmtId="201" fontId="5" fillId="6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3" fillId="2" borderId="3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horizontal="right" vertical="center" wrapText="1"/>
    </x:xf>
    <x:xf numFmtId="201" fontId="7" fillId="6" borderId="0" xfId="0" applyNumberFormat="1" applyFont="1" applyFill="1" applyBorder="1" applyAlignment="1">
      <x:alignment horizontal="right" vertical="center"/>
    </x:xf>
    <x:xf numFmtId="202" fontId="7" fillId="6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left" vertical="center"/>
    </x:xf>
    <x:xf numFmtId="201" fontId="5" fillId="5" borderId="5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left" vertical="center"/>
    </x:xf>
    <x:xf numFmtId="201" fontId="7" fillId="4" borderId="1" xfId="0" applyNumberFormat="1" applyFont="1" applyFill="1" applyBorder="1" applyAlignment="1">
      <x:alignment horizontal="right" vertical="center"/>
    </x:xf>
    <x:xf numFmtId="201" fontId="7" fillId="6" borderId="1" xfId="0" applyNumberFormat="1" applyFont="1" applyFill="1" applyBorder="1" applyAlignment="1">
      <x:alignment horizontal="right" vertical="center"/>
    </x:xf>
    <x:xf numFmtId="202" fontId="7" fillId="6" borderId="1" xfId="0" applyNumberFormat="1" applyFont="1" applyFill="1" applyBorder="1" applyAlignment="1">
      <x:alignment horizontal="right" vertical="center"/>
    </x:xf>
    <x:xf numFmtId="0" fontId="7" fillId="0" borderId="5" xfId="0" applyNumberFormat="1" applyFont="1" applyFill="1" applyBorder="1" applyAlignment="1">
      <x:alignment horizontal="lef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7" fillId="6" borderId="5" xfId="0" applyNumberFormat="1" applyFont="1" applyFill="1" applyBorder="1" applyAlignment="1">
      <x:alignment horizontal="right" vertical="center"/>
    </x:xf>
    <x:xf numFmtId="202" fontId="7" fillId="6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e9fa0f2df42e6" /><Relationship Type="http://schemas.openxmlformats.org/officeDocument/2006/relationships/theme" Target="/xl/theme/theme1.xml" Id="Rb9b8b275e8f44300" /><Relationship Type="http://schemas.openxmlformats.org/officeDocument/2006/relationships/sharedStrings" Target="/xl/sharedStrings.xml" Id="R7462c53de1094362" /><Relationship Type="http://schemas.openxmlformats.org/officeDocument/2006/relationships/worksheet" Target="/xl/worksheets/sheet1.xml" Id="Rf48c98640b2144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36DFE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7" hidden="0" customWidth="1"/>
    <x:col min="4" max="4" width="19" hidden="0" customWidth="1"/>
    <x:col min="5" max="5" width="19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6" customHeight="1">
      <x:c r="A1" s="1" t="str">
        <x:v>DD7 silver plan</x:v>
      </x:c>
      <x:c r="B1" s="1"/>
      <x:c r="C1" s="1"/>
      <x:c r="D1" s="1"/>
      <x:c r="E1" s="1"/>
      <x:c r="F1" s="1"/>
      <x:c r="G1" s="23"/>
      <x:c r="H1" s="23"/>
    </x:row>
    <x:row r="2" ht="20" customHeight="1">
      <x:c r="A2" s="2" t="str">
        <x:v>Editable inputs are shaded yellow. Amounts are in silver.</x:v>
      </x:c>
      <x:c r="B2" s="2"/>
      <x:c r="C2" s="2"/>
      <x:c r="D2" s="2"/>
      <x:c r="E2" s="2"/>
      <x:c r="F2" s="2"/>
      <x:c r="G2" s="23"/>
      <x:c r="H2" s="23"/>
    </x:row>
    <x:row r="3">
      <x:c r="A3" s="24"/>
      <x:c r="B3" s="24"/>
      <x:c r="C3" s="24"/>
      <x:c r="D3" s="24"/>
      <x:c r="E3" s="24"/>
      <x:c r="F3" s="24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 ht="22" customHeight="1">
      <x:c r="A5" s="6" t="str">
        <x:v>Silver position</x:v>
      </x:c>
      <x:c r="B5" s="7" t="str"/>
      <x:c r="C5" s="7" t="str"/>
      <x:c r="D5" s="7" t="str"/>
      <x:c r="E5" s="7" t="str"/>
      <x:c r="F5" s="8" t="str"/>
      <x:c r="G5" s="23"/>
      <x:c r="H5" s="23"/>
    </x:row>
    <x:row r="6">
      <x:c r="A6" s="54" t="str">
        <x:v>Source</x:v>
      </x:c>
      <x:c r="B6" s="36" t="str">
        <x:v>Quantity</x:v>
      </x:c>
      <x:c r="C6" s="36" t="str">
        <x:v>Unit value</x:v>
      </x:c>
      <x:c r="D6" s="36" t="str">
        <x:v>Silver value</x:v>
      </x:c>
      <x:c r="E6" s="37"/>
      <x:c r="F6" s="37"/>
      <x:c r="G6" s="37"/>
      <x:c r="H6" s="37"/>
    </x:row>
    <x:row r="7">
      <x:c r="A7" s="55" t="str">
        <x:v>Target</x:v>
      </x:c>
      <x:c r="B7" s="63"/>
      <x:c r="C7" s="63"/>
      <x:c r="D7" s="64" t="n">
        <x:v>5000000000000</x:v>
      </x:c>
      <x:c r="E7" s="63"/>
      <x:c r="F7" s="65"/>
      <x:c r="G7" s="65"/>
      <x:c r="H7" s="65"/>
    </x:row>
    <x:row r="8">
      <x:c r="A8" s="55" t="str">
        <x:v>Silver on hand</x:v>
      </x:c>
      <x:c r="B8" s="63"/>
      <x:c r="C8" s="63"/>
      <x:c r="D8" s="64" t="n">
        <x:v>3039000000000</x:v>
      </x:c>
      <x:c r="E8" s="63"/>
      <x:c r="F8" s="65"/>
      <x:c r="G8" s="65"/>
      <x:c r="H8" s="65"/>
    </x:row>
    <x:row r="9">
      <x:c r="A9" s="55" t="str">
        <x:v>Bank</x:v>
      </x:c>
      <x:c r="B9" s="63"/>
      <x:c r="C9" s="63"/>
      <x:c r="D9" s="64" t="n">
        <x:v>600300000000</x:v>
      </x:c>
      <x:c r="E9" s="63"/>
      <x:c r="F9" s="65"/>
      <x:c r="G9" s="65"/>
      <x:c r="H9" s="65"/>
    </x:row>
    <x:row r="10">
      <x:c r="A10" s="55" t="str">
        <x:v>White truffles</x:v>
      </x:c>
      <x:c r="B10" s="64" t="n">
        <x:v>3454</x:v>
      </x:c>
      <x:c r="C10" s="64" t="n">
        <x:v>190000000</x:v>
      </x:c>
      <x:c r="D10" s="63" t="n">
        <x:f>B10*C10</x:f>
        <x:v>656260000000</x:v>
      </x:c>
      <x:c r="E10" s="63"/>
      <x:c r="F10" s="65"/>
      <x:c r="G10" s="65"/>
      <x:c r="H10" s="65"/>
    </x:row>
    <x:row r="11">
      <x:c r="A11" s="55" t="str">
        <x:v>Black truffles</x:v>
      </x:c>
      <x:c r="B11" s="64" t="n">
        <x:v>56</x:v>
      </x:c>
      <x:c r="C11" s="64" t="n">
        <x:v>600000000</x:v>
      </x:c>
      <x:c r="D11" s="63" t="n">
        <x:f>B11*C11</x:f>
        <x:v>33600000000</x:v>
      </x:c>
      <x:c r="E11" s="63"/>
      <x:c r="F11" s="65"/>
      <x:c r="G11" s="65"/>
      <x:c r="H11" s="65"/>
    </x:row>
    <x:row r="12">
      <x:c r="A12" s="78" t="str">
        <x:v>Available before optional sales</x:v>
      </x:c>
      <x:c r="B12" s="79"/>
      <x:c r="C12" s="79"/>
      <x:c r="D12" s="79" t="n">
        <x:f>SUM(D8:D11)</x:f>
        <x:v>4329160000000</x:v>
      </x:c>
      <x:c r="E12" s="63"/>
      <x:c r="F12" s="65"/>
      <x:c r="G12" s="65"/>
      <x:c r="H12" s="65"/>
    </x:row>
    <x:row r="13">
      <x:c r="A13" s="56" t="str">
        <x:v>Gap before optional sales</x:v>
      </x:c>
      <x:c r="B13" s="66"/>
      <x:c r="C13" s="66"/>
      <x:c r="D13" s="66" t="n">
        <x:f>MAX(0,D7-D12)</x:f>
        <x:v>670840000000</x:v>
      </x:c>
      <x:c r="E13" s="63"/>
      <x:c r="F13" s="65"/>
      <x:c r="G13" s="65"/>
      <x:c r="H13" s="65"/>
    </x:row>
    <x:row r="14">
      <x:c r="A14" s="56" t="str">
        <x:v>Progress to target</x:v>
      </x:c>
      <x:c r="B14" s="66"/>
      <x:c r="C14" s="66"/>
      <x:c r="D14" s="67" t="n">
        <x:f>MIN(1,D12/D7)</x:f>
        <x:v>0.865832</x:v>
      </x:c>
      <x:c r="E14" s="63"/>
      <x:c r="F14" s="65"/>
      <x:c r="G14" s="65"/>
      <x:c r="H14" s="65"/>
    </x:row>
    <x:row r="15">
      <x:c r="A15" s="55"/>
      <x:c r="B15" s="63"/>
      <x:c r="C15" s="63"/>
      <x:c r="D15" s="63"/>
      <x:c r="E15" s="63"/>
      <x:c r="F15" s="65"/>
      <x:c r="G15" s="65"/>
      <x:c r="H15" s="65"/>
    </x:row>
    <x:row r="16" ht="22" customHeight="1">
      <x:c r="A16" s="57" t="str">
        <x:v>Expected daily truffles</x:v>
      </x:c>
      <x:c r="B16" s="68" t="str"/>
      <x:c r="C16" s="68" t="str"/>
      <x:c r="D16" s="68" t="str"/>
      <x:c r="E16" s="68" t="str"/>
      <x:c r="F16" s="69" t="str"/>
      <x:c r="G16" s="65"/>
      <x:c r="H16" s="65"/>
    </x:row>
    <x:row r="17">
      <x:c r="A17" s="54" t="str">
        <x:v>Type</x:v>
      </x:c>
      <x:c r="B17" s="70" t="str">
        <x:v>Expected per day</x:v>
      </x:c>
      <x:c r="C17" s="70" t="str">
        <x:v>Unit price</x:v>
      </x:c>
      <x:c r="D17" s="70" t="str">
        <x:v>Silver per day</x:v>
      </x:c>
      <x:c r="E17" s="63"/>
      <x:c r="F17" s="65"/>
      <x:c r="G17" s="65"/>
      <x:c r="H17" s="65"/>
    </x:row>
    <x:row r="18">
      <x:c r="A18" s="55" t="str">
        <x:v>White Truffle</x:v>
      </x:c>
      <x:c r="B18" s="71" t="n">
        <x:v>161.38</x:v>
      </x:c>
      <x:c r="C18" s="63" t="n">
        <x:f>$C$10</x:f>
        <x:v>190000000</x:v>
      </x:c>
      <x:c r="D18" s="63" t="n">
        <x:f>B18*C18</x:f>
        <x:v>30662200000</x:v>
      </x:c>
      <x:c r="E18" s="63"/>
      <x:c r="F18" s="65"/>
      <x:c r="G18" s="65"/>
      <x:c r="H18" s="65"/>
    </x:row>
    <x:row r="19">
      <x:c r="A19" s="55" t="str">
        <x:v>Black Truffle</x:v>
      </x:c>
      <x:c r="B19" s="71" t="n">
        <x:v>53.79</x:v>
      </x:c>
      <x:c r="C19" s="63" t="n">
        <x:f>$C$11</x:f>
        <x:v>600000000</x:v>
      </x:c>
      <x:c r="D19" s="63" t="n">
        <x:f>B19*C19</x:f>
        <x:v>32274000000</x:v>
      </x:c>
      <x:c r="E19" s="63"/>
      <x:c r="F19" s="65"/>
      <x:c r="G19" s="65"/>
      <x:c r="H19" s="65"/>
    </x:row>
    <x:row r="20">
      <x:c r="A20" s="58" t="str">
        <x:v>Expected truffle silver per day</x:v>
      </x:c>
      <x:c r="B20" s="72"/>
      <x:c r="C20" s="72"/>
      <x:c r="D20" s="72" t="n">
        <x:f>SUM(D18:D19)</x:f>
        <x:v>62936200000</x:v>
      </x:c>
      <x:c r="E20" s="63"/>
      <x:c r="F20" s="65"/>
      <x:c r="G20" s="65"/>
      <x:c r="H20" s="65"/>
    </x:row>
    <x:row r="21">
      <x:c r="A21" s="55"/>
      <x:c r="B21" s="63"/>
      <x:c r="C21" s="63"/>
      <x:c r="D21" s="63"/>
      <x:c r="E21" s="63"/>
      <x:c r="F21" s="65"/>
      <x:c r="G21" s="65"/>
      <x:c r="H21" s="65"/>
    </x:row>
    <x:row r="22" ht="22" customHeight="1">
      <x:c r="A22" s="57" t="str">
        <x:v>Optional sales</x:v>
      </x:c>
      <x:c r="B22" s="68" t="str"/>
      <x:c r="C22" s="68" t="str"/>
      <x:c r="D22" s="68" t="str"/>
      <x:c r="E22" s="68" t="str"/>
      <x:c r="F22" s="69" t="str"/>
      <x:c r="G22" s="65"/>
      <x:c r="H22" s="65"/>
    </x:row>
    <x:row r="23">
      <x:c r="A23" s="54" t="str">
        <x:v>Item</x:v>
      </x:c>
      <x:c r="B23" s="70" t="str">
        <x:v>Owned</x:v>
      </x:c>
      <x:c r="C23" s="70" t="str">
        <x:v>Planned sale</x:v>
      </x:c>
      <x:c r="D23" s="70" t="str">
        <x:v>Unit price</x:v>
      </x:c>
      <x:c r="E23" s="70" t="str">
        <x:v>Silver value</x:v>
      </x:c>
      <x:c r="F23" s="65"/>
      <x:c r="G23" s="65"/>
      <x:c r="H23" s="65"/>
    </x:row>
    <x:row r="24">
      <x:c r="A24" s="55" t="str">
        <x:v>Gainite</x:v>
      </x:c>
      <x:c r="B24" s="64" t="n">
        <x:v>85</x:v>
      </x:c>
      <x:c r="C24" s="64" t="n">
        <x:v>85</x:v>
      </x:c>
      <x:c r="D24" s="64" t="n">
        <x:v>2147483647</x:v>
      </x:c>
      <x:c r="E24" s="63" t="n">
        <x:f>C24*D24</x:f>
        <x:v>182536109995</x:v>
      </x:c>
      <x:c r="F24" s="65"/>
      <x:c r="G24" s="65"/>
      <x:c r="H24" s="65"/>
    </x:row>
    <x:row r="25">
      <x:c r="A25" s="55" t="str">
        <x:v>Lava Sphere</x:v>
      </x:c>
      <x:c r="B25" s="64" t="n">
        <x:v>17164</x:v>
      </x:c>
      <x:c r="C25" s="64" t="n">
        <x:v>17164</x:v>
      </x:c>
      <x:c r="D25" s="64" t="n">
        <x:v>4000000</x:v>
      </x:c>
      <x:c r="E25" s="63" t="n">
        <x:f>C25*D25</x:f>
        <x:v>68656000000</x:v>
      </x:c>
      <x:c r="F25" s="65"/>
      <x:c r="G25" s="65"/>
      <x:c r="H25" s="65"/>
    </x:row>
    <x:row r="26">
      <x:c r="A26" s="55" t="str">
        <x:v>Fancy Violin</x:v>
      </x:c>
      <x:c r="B26" s="64" t="n">
        <x:v>10000</x:v>
      </x:c>
      <x:c r="C26" s="64" t="n">
        <x:v>10000</x:v>
      </x:c>
      <x:c r="D26" s="64" t="n">
        <x:v>1500000</x:v>
      </x:c>
      <x:c r="E26" s="63" t="n">
        <x:f>C26*D26</x:f>
        <x:v>15000000000</x:v>
      </x:c>
      <x:c r="F26" s="65"/>
      <x:c r="G26" s="65"/>
      <x:c r="H26" s="65"/>
    </x:row>
    <x:row r="27">
      <x:c r="A27" s="55" t="str">
        <x:v>Canoe</x:v>
      </x:c>
      <x:c r="B27" s="64" t="n">
        <x:v>15000</x:v>
      </x:c>
      <x:c r="C27" s="64" t="n">
        <x:v>15000</x:v>
      </x:c>
      <x:c r="D27" s="64" t="n">
        <x:v>200000</x:v>
      </x:c>
      <x:c r="E27" s="63" t="n">
        <x:f>C27*D27</x:f>
        <x:v>3000000000</x:v>
      </x:c>
      <x:c r="F27" s="65"/>
      <x:c r="G27" s="65"/>
      <x:c r="H27" s="65"/>
    </x:row>
    <x:row r="28">
      <x:c r="A28" s="55" t="str">
        <x:v>Linked Lantern</x:v>
      </x:c>
      <x:c r="B28" s="64" t="n">
        <x:v>30000</x:v>
      </x:c>
      <x:c r="C28" s="64" t="n">
        <x:v>30000</x:v>
      </x:c>
      <x:c r="D28" s="64" t="n">
        <x:v>100000</x:v>
      </x:c>
      <x:c r="E28" s="63" t="n">
        <x:f>C28*D28</x:f>
        <x:v>3000000000</x:v>
      </x:c>
      <x:c r="F28" s="65"/>
      <x:c r="G28" s="65"/>
      <x:c r="H28" s="65"/>
    </x:row>
    <x:row r="29">
      <x:c r="A29" s="78" t="str">
        <x:v>Total planned sales</x:v>
      </x:c>
      <x:c r="B29" s="79"/>
      <x:c r="C29" s="79"/>
      <x:c r="D29" s="79"/>
      <x:c r="E29" s="79" t="n">
        <x:f>SUM(E24:E28)</x:f>
        <x:v>272192109995</x:v>
      </x:c>
      <x:c r="F29" s="65"/>
      <x:c r="G29" s="65"/>
      <x:c r="H29" s="65"/>
    </x:row>
    <x:row r="30">
      <x:c r="A30" s="56" t="str">
        <x:v>Gap after planned sales</x:v>
      </x:c>
      <x:c r="B30" s="66"/>
      <x:c r="C30" s="66"/>
      <x:c r="D30" s="66"/>
      <x:c r="E30" s="66" t="n">
        <x:f>MAX(0,$D$13-E29)</x:f>
        <x:v>398647890005</x:v>
      </x:c>
      <x:c r="F30" s="65"/>
      <x:c r="G30" s="65"/>
      <x:c r="H30" s="65"/>
    </x:row>
    <x:row r="31">
      <x:c r="A31" s="56" t="str">
        <x:v>Progress after planned sales</x:v>
      </x:c>
      <x:c r="B31" s="73"/>
      <x:c r="C31" s="73"/>
      <x:c r="D31" s="73"/>
      <x:c r="E31" s="67" t="n">
        <x:f>MIN(1,($D$12+E29)/$D$7)</x:f>
        <x:v>0.920270421999</x:v>
      </x:c>
      <x:c r="F31" s="65"/>
      <x:c r="G31" s="65"/>
      <x:c r="H31" s="65"/>
    </x:row>
    <x:row r="32">
      <x:c r="A32" s="55"/>
      <x:c r="B32" s="65"/>
      <x:c r="C32" s="65"/>
      <x:c r="D32" s="65"/>
      <x:c r="E32" s="65"/>
      <x:c r="F32" s="65"/>
      <x:c r="G32" s="65"/>
      <x:c r="H32" s="65"/>
    </x:row>
    <x:row r="33" ht="22" customHeight="1">
      <x:c r="A33" s="57" t="str">
        <x:v>Fishing and truffle scenarios</x:v>
      </x:c>
      <x:c r="B33" s="74" t="str"/>
      <x:c r="C33" s="74" t="str"/>
      <x:c r="D33" s="74" t="str"/>
      <x:c r="E33" s="74" t="str"/>
      <x:c r="F33" s="74" t="str"/>
      <x:c r="G33" s="74" t="str"/>
      <x:c r="H33" s="69" t="str"/>
    </x:row>
    <x:row r="34" ht="42" customHeight="1">
      <x:c r="A34" s="59" t="str">
        <x:v>Location</x:v>
      </x:c>
      <x:c r="B34" s="75" t="str">
        <x:v>Silver per net</x:v>
      </x:c>
      <x:c r="C34" s="75" t="str">
        <x:v>Nets per day</x:v>
      </x:c>
      <x:c r="D34" s="75" t="str">
        <x:v>Fishing silver/day</x:v>
      </x:c>
      <x:c r="E34" s="75" t="str">
        <x:v>Truffle silver/day</x:v>
      </x:c>
      <x:c r="F34" s="75" t="str">
        <x:v>Combined silver/day</x:v>
      </x:c>
      <x:c r="G34" s="75" t="str">
        <x:v>Days before sales</x:v>
      </x:c>
      <x:c r="H34" s="75" t="str">
        <x:v>Days after sales</x:v>
      </x:c>
    </x:row>
    <x:row r="35">
      <x:c r="A35" s="80" t="str">
        <x:v>Glacier</x:v>
      </x:c>
      <x:c r="B35" s="81" t="n">
        <x:v>13784000</x:v>
      </x:c>
      <x:c r="C35" s="81" t="n">
        <x:v>5416.04</x:v>
      </x:c>
      <x:c r="D35" s="82" t="n">
        <x:f>B35*C35</x:f>
        <x:v>74654695360</x:v>
      </x:c>
      <x:c r="E35" s="82" t="n">
        <x:f>$D$20</x:f>
        <x:v>62936200000</x:v>
      </x:c>
      <x:c r="F35" s="82" t="n">
        <x:f>D35+E35</x:f>
        <x:v>137590895360</x:v>
      </x:c>
      <x:c r="G35" s="83" t="n">
        <x:f>$D$13/F35</x:f>
        <x:v>4.875613304534281</x:v>
      </x:c>
      <x:c r="H35" s="83" t="n">
        <x:f>$E$30/F35</x:f>
        <x:v>2.8973420731216035</x:v>
      </x:c>
    </x:row>
    <x:row r="36">
      <x:c r="A36" s="84" t="str">
        <x:v>Swamp</x:v>
      </x:c>
      <x:c r="B36" s="85" t="n">
        <x:v>17409000</x:v>
      </x:c>
      <x:c r="C36" s="85" t="n">
        <x:v>5416.04</x:v>
      </x:c>
      <x:c r="D36" s="86" t="n">
        <x:f>B36*C36</x:f>
        <x:v>94287840360</x:v>
      </x:c>
      <x:c r="E36" s="86" t="n">
        <x:f>$D$20</x:f>
        <x:v>62936200000</x:v>
      </x:c>
      <x:c r="F36" s="86" t="n">
        <x:f>D36+E36</x:f>
        <x:v>157224040360</x:v>
      </x:c>
      <x:c r="G36" s="87" t="n">
        <x:f>$D$13/F36</x:f>
        <x:v>4.266777513565738</x:v>
      </x:c>
      <x:c r="H36" s="87" t="n">
        <x:f>$E$30/F36</x:f>
        <x:v>2.5355402970958227</x:v>
      </x:c>
    </x:row>
    <x:row r="37">
      <x:c r="A37" s="60"/>
      <x:c r="B37" s="23"/>
      <x:c r="C37" s="23"/>
      <x:c r="D37" s="23"/>
      <x:c r="E37" s="23"/>
      <x:c r="F37" s="23"/>
      <x:c r="G37" s="23"/>
      <x:c r="H37" s="23"/>
    </x:row>
    <x:row r="38">
      <x:c r="A38" s="61" t="str">
        <x:v>Notes</x:v>
      </x:c>
      <x:c r="B38" s="20"/>
      <x:c r="C38" s="20"/>
      <x:c r="D38" s="20"/>
      <x:c r="E38" s="20"/>
      <x:c r="F38" s="20"/>
      <x:c r="G38" s="20"/>
      <x:c r="H38" s="20"/>
    </x:row>
    <x:row r="39" ht="22" customHeight="1">
      <x:c r="A39" s="62" t="str">
        <x:v>Set Planned sale to 0 for any item you want to keep. Fishing days include expected daily truffle sales.</x:v>
      </x:c>
      <x:c r="B39" s="22"/>
      <x:c r="C39" s="22"/>
      <x:c r="D39" s="22"/>
      <x:c r="E39" s="22"/>
      <x:c r="F39" s="22"/>
      <x:c r="G39" s="22"/>
      <x:c r="H39" s="22"/>
    </x:row>
    <x:row r="40" ht="32" customHeight="1">
      <x:c r="A40" s="62" t="str">
        <x:v>Truffle estimates use the supplied roster: 173 level-33 pigs, 322 level-32 pigs, and 5 level-25 pigs (161.38 white and 53.79 black per day).</x:v>
      </x:c>
      <x:c r="B40" s="22"/>
      <x:c r="C40" s="22"/>
      <x:c r="D40" s="22"/>
      <x:c r="E40" s="22"/>
      <x:c r="F40" s="22"/>
      <x:c r="G40" s="22"/>
      <x:c r="H40" s="22"/>
    </x:row>
    <x:row r="41" ht="22" customHeight="1">
      <x:c r="A41" s="62" t="str">
        <x:v>Starting silver values transcribed from the supplied DD7 planning sheet on 2026-09-05.</x:v>
      </x:c>
      <x:c r="B41" s="22"/>
      <x:c r="C41" s="22"/>
      <x:c r="D41" s="22"/>
      <x:c r="E41" s="22"/>
      <x:c r="F41" s="22"/>
      <x:c r="G41" s="22"/>
      <x:c r="H41" s="22"/>
    </x:row>
  </x:sheetData>
  <x:mergeCells>
    <x:mergeCell ref="A39:H39"/>
    <x:mergeCell ref="A40:H40"/>
    <x:mergeCell ref="A41:H41"/>
  </x:mergeCells>
  <x:pageMargins left="0.7" right="0.7" top="0.75" bottom="0.75" header="0.3" footer="0.3"/>
</x:worksheet>
</file>